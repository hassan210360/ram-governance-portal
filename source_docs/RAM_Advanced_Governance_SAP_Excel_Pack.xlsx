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"/>
    </mc:Choice>
  </mc:AlternateContent>
  <xr:revisionPtr revIDLastSave="0" documentId="13_ncr:1_{ABD3A07F-B840-4DD8-8813-5D511364B86E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Master_Data" sheetId="1" r:id="rId1"/>
    <sheet name="PM_Work_Orders" sheetId="2" r:id="rId2"/>
    <sheet name="RE_FX_Leases" sheetId="3" r:id="rId3"/>
    <sheet name="PS_CapEx" sheetId="4" r:id="rId4"/>
    <sheet name="GRC_Risk_Register" sheetId="5" r:id="rId5"/>
    <sheet name="DoA_Matrix" sheetId="6" r:id="rId6"/>
    <sheet name="KPI_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F2" i="5" s="1"/>
  <c r="F2" i="4"/>
  <c r="E2" i="4"/>
  <c r="G2" i="3"/>
  <c r="I2" i="2"/>
</calcChain>
</file>

<file path=xl/sharedStrings.xml><?xml version="1.0" encoding="utf-8"?>
<sst xmlns="http://schemas.openxmlformats.org/spreadsheetml/2006/main" count="66" uniqueCount="54">
  <si>
    <t>Priority_List</t>
  </si>
  <si>
    <t>Status_List</t>
  </si>
  <si>
    <t>Risk_Rating_List</t>
  </si>
  <si>
    <t>Asset_Class_List</t>
  </si>
  <si>
    <t>Critical</t>
  </si>
  <si>
    <t>Draft</t>
  </si>
  <si>
    <t>Low</t>
  </si>
  <si>
    <t>Core</t>
  </si>
  <si>
    <t>High</t>
  </si>
  <si>
    <t>Submitted</t>
  </si>
  <si>
    <t>Medium</t>
  </si>
  <si>
    <t>Value-Add</t>
  </si>
  <si>
    <t>Approved</t>
  </si>
  <si>
    <t>Opportunistic</t>
  </si>
  <si>
    <t>Rejected</t>
  </si>
  <si>
    <t>WO_ID</t>
  </si>
  <si>
    <t>Asset_ID (FI-AA)</t>
  </si>
  <si>
    <t>Equipment_ID (PM)</t>
  </si>
  <si>
    <t>Priority</t>
  </si>
  <si>
    <t>Status</t>
  </si>
  <si>
    <t>Start_Time</t>
  </si>
  <si>
    <t>End_Time</t>
  </si>
  <si>
    <t>SLA_Target_Hours</t>
  </si>
  <si>
    <t>SLA_Compliance</t>
  </si>
  <si>
    <t>Lease_ID</t>
  </si>
  <si>
    <t>Tenant_ID (RE-FX)</t>
  </si>
  <si>
    <t>Base_Rent</t>
  </si>
  <si>
    <t>Escalation_%</t>
  </si>
  <si>
    <t>Lease_Term_Years</t>
  </si>
  <si>
    <t>Annual_Rent</t>
  </si>
  <si>
    <t>Project_ID (PS)</t>
  </si>
  <si>
    <t>Budget</t>
  </si>
  <si>
    <t>Actual_Cost</t>
  </si>
  <si>
    <t>Variance</t>
  </si>
  <si>
    <t>Approval_Level</t>
  </si>
  <si>
    <t>Risk_ID</t>
  </si>
  <si>
    <t>Asset_ID</t>
  </si>
  <si>
    <t>Impact (1-5)</t>
  </si>
  <si>
    <t>Likelihood (1-5)</t>
  </si>
  <si>
    <t>Risk_Score</t>
  </si>
  <si>
    <t>Risk_Level</t>
  </si>
  <si>
    <t>Transaction_Type</t>
  </si>
  <si>
    <t>&lt;1M_LE</t>
  </si>
  <si>
    <t>1-5M_LE</t>
  </si>
  <si>
    <t>&gt;5M_LE</t>
  </si>
  <si>
    <t>CapEx</t>
  </si>
  <si>
    <t>Asset Manager</t>
  </si>
  <si>
    <t>AMC</t>
  </si>
  <si>
    <t>Board</t>
  </si>
  <si>
    <t>Acquisition</t>
  </si>
  <si>
    <t>Lease Deviation</t>
  </si>
  <si>
    <t>Occupancy Rate</t>
  </si>
  <si>
    <t>ROA</t>
  </si>
  <si>
    <t>PM Compliance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</si>
</sst>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RAM KPI Overview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KPI_Dashboard!$A$1:$C$1</c:f>
              <c:strCache>
                <c:ptCount val="3"/>
                <c:pt idx="0">
                  <c:v>Occupancy Rate</c:v>
                </c:pt>
                <c:pt idx="1">
                  <c:v>ROA</c:v>
                </c:pt>
                <c:pt idx="2">
                  <c:v>PM Compliance %</c:v>
                </c:pt>
              </c:strCache>
            </c:strRef>
          </c:cat>
          <c:val>
            <c:numRef>
              <c:f>KPI_Dashboard!$A$2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4-4A40-992F-A332F33FB769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KPI_Dashboard!$A$1:$C$1</c:f>
              <c:strCache>
                <c:ptCount val="3"/>
                <c:pt idx="0">
                  <c:v>Occupancy Rate</c:v>
                </c:pt>
                <c:pt idx="1">
                  <c:v>ROA</c:v>
                </c:pt>
                <c:pt idx="2">
                  <c:v>PM Compliance %</c:v>
                </c:pt>
              </c:strCache>
            </c:strRef>
          </c:cat>
          <c:val>
            <c:numRef>
              <c:f>KPI_Dashboard!$B$2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4-4A40-992F-A332F33FB769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KPI_Dashboard!$A$1:$C$1</c:f>
              <c:strCache>
                <c:ptCount val="3"/>
                <c:pt idx="0">
                  <c:v>Occupancy Rate</c:v>
                </c:pt>
                <c:pt idx="1">
                  <c:v>ROA</c:v>
                </c:pt>
                <c:pt idx="2">
                  <c:v>PM Compliance %</c:v>
                </c:pt>
              </c:strCache>
            </c:strRef>
          </c:cat>
          <c:val>
            <c:numRef>
              <c:f>KPI_Dashboard!$C$2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E4-4A40-992F-A332F33F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1"/>
    </sheetView>
  </sheetViews>
  <sheetFormatPr defaultRowHeight="15" x14ac:dyDescent="0.25"/>
  <cols>
    <col min="1" max="1" width="14.7109375" customWidth="1"/>
    <col min="2" max="2" width="20.140625" customWidth="1"/>
    <col min="3" max="3" width="23.85546875" customWidth="1"/>
    <col min="4" max="4" width="28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10</v>
      </c>
      <c r="B4" s="2" t="s">
        <v>12</v>
      </c>
      <c r="C4" s="2" t="s">
        <v>8</v>
      </c>
      <c r="D4" s="2" t="s">
        <v>13</v>
      </c>
    </row>
    <row r="5" spans="1:4" x14ac:dyDescent="0.25">
      <c r="A5" s="2" t="s">
        <v>6</v>
      </c>
      <c r="B5" s="2" t="s">
        <v>14</v>
      </c>
      <c r="C5" s="2"/>
      <c r="D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sqref="A1:XFD1048576"/>
    </sheetView>
  </sheetViews>
  <sheetFormatPr defaultRowHeight="15" x14ac:dyDescent="0.25"/>
  <cols>
    <col min="1" max="1" width="7.28515625" bestFit="1" customWidth="1"/>
    <col min="2" max="2" width="15.5703125" bestFit="1" customWidth="1"/>
    <col min="3" max="3" width="18.7109375" bestFit="1" customWidth="1"/>
    <col min="4" max="4" width="7.5703125" bestFit="1" customWidth="1"/>
    <col min="5" max="5" width="6.42578125" bestFit="1" customWidth="1"/>
    <col min="6" max="6" width="10.5703125" bestFit="1" customWidth="1"/>
    <col min="7" max="7" width="9.7109375" bestFit="1" customWidth="1"/>
    <col min="8" max="8" width="17" bestFit="1" customWidth="1"/>
    <col min="9" max="9" width="15.7109375" bestFit="1" customWidth="1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I2" t="str">
        <f>IF((G2-F2)*24&lt;=H2,"Compliant","Breach")</f>
        <v>Compliant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Master_Data!$A$2:$A$5</xm:f>
          </x14:formula1>
          <xm:sqref>D2:D100</xm:sqref>
        </x14:dataValidation>
        <x14:dataValidation type="list" xr:uid="{00000000-0002-0000-0100-000001000000}">
          <x14:formula1>
            <xm:f>Master_Data!$B$2:$B$6</xm:f>
          </x14:formula1>
          <xm:sqref>E2:E100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sqref="A1:XFD1048576"/>
    </sheetView>
  </sheetViews>
  <sheetFormatPr defaultRowHeight="15" x14ac:dyDescent="0.25"/>
  <cols>
    <col min="1" max="1" width="8.85546875" bestFit="1" customWidth="1"/>
    <col min="2" max="2" width="15.5703125" bestFit="1" customWidth="1"/>
    <col min="3" max="3" width="17" bestFit="1" customWidth="1"/>
    <col min="4" max="4" width="10.28515625" bestFit="1" customWidth="1"/>
    <col min="5" max="5" width="12.42578125" bestFit="1" customWidth="1"/>
    <col min="6" max="6" width="17.7109375" bestFit="1" customWidth="1"/>
    <col min="7" max="7" width="12.42578125" bestFit="1" customWidth="1"/>
    <col min="8" max="8" width="6.42578125" bestFit="1" customWidth="1"/>
  </cols>
  <sheetData>
    <row r="1" spans="1:8" x14ac:dyDescent="0.25">
      <c r="A1" s="1" t="s">
        <v>24</v>
      </c>
      <c r="B1" s="1" t="s">
        <v>16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19</v>
      </c>
    </row>
    <row r="2" spans="1:8" x14ac:dyDescent="0.25">
      <c r="G2">
        <f>D2*12</f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Master_Data!$B$2:$B$6</xm:f>
          </x14:formula1>
          <xm:sqref>H2:H100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sqref="A1:XFD1048576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3" width="7.28515625" bestFit="1" customWidth="1"/>
    <col min="4" max="4" width="11.42578125" bestFit="1" customWidth="1"/>
    <col min="5" max="5" width="8.7109375" bestFit="1" customWidth="1"/>
    <col min="6" max="6" width="14.85546875" bestFit="1" customWidth="1"/>
  </cols>
  <sheetData>
    <row r="1" spans="1:6" x14ac:dyDescent="0.25">
      <c r="A1" s="1" t="s">
        <v>30</v>
      </c>
      <c r="B1" s="1" t="s">
        <v>16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E2">
        <f>C2-D2</f>
        <v>0</v>
      </c>
      <c r="F2" t="str">
        <f>IF(C2&lt;1000000,"Asset Manager",IF(C2&lt;=5000000,"AMC","Board"))</f>
        <v>Asset Manager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sqref="A1:XFD1048576"/>
    </sheetView>
  </sheetViews>
  <sheetFormatPr defaultRowHeight="15" x14ac:dyDescent="0.25"/>
  <cols>
    <col min="1" max="1" width="7.42578125" bestFit="1" customWidth="1"/>
    <col min="2" max="2" width="8.7109375" bestFit="1" customWidth="1"/>
    <col min="3" max="3" width="11.5703125" bestFit="1" customWidth="1"/>
    <col min="4" max="4" width="15" bestFit="1" customWidth="1"/>
    <col min="5" max="5" width="10.42578125" bestFit="1" customWidth="1"/>
    <col min="6" max="6" width="10.28515625" bestFit="1" customWidth="1"/>
  </cols>
  <sheetData>
    <row r="1" spans="1:6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25">
      <c r="E2">
        <f>C2*D2</f>
        <v>0</v>
      </c>
      <c r="F2" t="str">
        <f>IF(E2&gt;=15,"High",IF(E2&gt;=8,"Medium","Low"))</f>
        <v>Low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E3" sqref="E3"/>
    </sheetView>
  </sheetViews>
  <sheetFormatPr defaultRowHeight="15" x14ac:dyDescent="0.25"/>
  <cols>
    <col min="1" max="1" width="16.5703125" bestFit="1" customWidth="1"/>
    <col min="2" max="2" width="14.140625" bestFit="1" customWidth="1"/>
    <col min="3" max="3" width="8.42578125" bestFit="1" customWidth="1"/>
    <col min="4" max="4" width="9.140625" customWidth="1"/>
  </cols>
  <sheetData>
    <row r="1" spans="1:4" x14ac:dyDescent="0.2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5">
      <c r="A2" t="s">
        <v>45</v>
      </c>
      <c r="B2" t="s">
        <v>46</v>
      </c>
      <c r="C2" t="s">
        <v>47</v>
      </c>
      <c r="D2" t="s">
        <v>48</v>
      </c>
    </row>
    <row r="3" spans="1:4" x14ac:dyDescent="0.25">
      <c r="A3" t="s">
        <v>49</v>
      </c>
      <c r="B3" t="s">
        <v>47</v>
      </c>
      <c r="C3" t="s">
        <v>47</v>
      </c>
      <c r="D3" t="s">
        <v>48</v>
      </c>
    </row>
    <row r="4" spans="1:4" x14ac:dyDescent="0.25">
      <c r="A4" t="s">
        <v>50</v>
      </c>
      <c r="B4" t="s">
        <v>46</v>
      </c>
      <c r="C4" t="s">
        <v>47</v>
      </c>
      <c r="D4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51</v>
      </c>
      <c r="B1" t="s">
        <v>52</v>
      </c>
      <c r="C1" t="s">
        <v>53</v>
      </c>
    </row>
    <row r="2" spans="1:3" x14ac:dyDescent="0.25">
      <c r="A2">
        <v>95</v>
      </c>
      <c r="B2">
        <v>8</v>
      </c>
      <c r="C2">
        <v>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Master_Data</vt:lpstr>
      <vt:lpstr>PM_Work_Orders</vt:lpstr>
      <vt:lpstr>RE_FX_Leases</vt:lpstr>
      <vt:lpstr>PS_CapEx</vt:lpstr>
      <vt:lpstr>GRC_Risk_Register</vt:lpstr>
      <vt:lpstr>DoA_Matrix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2026-03-03T15:03:14Z</dcterms:created>
  <dcterms:modified xsi:type="dcterms:W3CDTF">2026-03-03T21:14:59Z</dcterms:modified>
</cp:coreProperties>
</file>